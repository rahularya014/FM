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hul\OneDrive\Desktop\"/>
    </mc:Choice>
  </mc:AlternateContent>
  <xr:revisionPtr revIDLastSave="10" documentId="8_{FD88A329-B7B2-42C1-B66F-73CA1AC2B96A}" xr6:coauthVersionLast="36" xr6:coauthVersionMax="36" xr10:uidLastSave="{F2A2F431-6E51-4490-8AB9-944155A3C60E}"/>
  <bookViews>
    <workbookView xWindow="0" yWindow="0" windowWidth="23016" windowHeight="8916" activeTab="1" xr2:uid="{00000000-000D-0000-FFFF-FFFF00000000}"/>
  </bookViews>
  <sheets>
    <sheet name="Duration" sheetId="1" r:id="rId1"/>
    <sheet name="Convexity" sheetId="2" r:id="rId2"/>
  </sheets>
  <functionGroups builtInGroupCount="19"/>
  <calcPr calcId="191029"/>
</workbook>
</file>

<file path=xl/calcChain.xml><?xml version="1.0" encoding="utf-8"?>
<calcChain xmlns="http://schemas.openxmlformats.org/spreadsheetml/2006/main">
  <c r="J1" i="2" l="1"/>
  <c r="B5" i="2"/>
  <c r="B8" i="2" l="1"/>
  <c r="B16" i="2" s="1"/>
  <c r="B15" i="2" l="1"/>
</calcChain>
</file>

<file path=xl/sharedStrings.xml><?xml version="1.0" encoding="utf-8"?>
<sst xmlns="http://schemas.openxmlformats.org/spreadsheetml/2006/main" count="24" uniqueCount="17">
  <si>
    <t>INPUT DATA</t>
  </si>
  <si>
    <t>COUPON RATE</t>
  </si>
  <si>
    <t xml:space="preserve">YIELD TO MATURITY </t>
  </si>
  <si>
    <t>MATURITY</t>
  </si>
  <si>
    <t>YEARS</t>
  </si>
  <si>
    <t xml:space="preserve">DURATION OF THE BOND </t>
  </si>
  <si>
    <t>DURATION OF THE BOND USING FORMULA</t>
  </si>
  <si>
    <t>Modified Duration</t>
  </si>
  <si>
    <t xml:space="preserve">Prediction based on Modified Duration </t>
  </si>
  <si>
    <t>Change in Yield</t>
  </si>
  <si>
    <t>Percent Change in Price</t>
  </si>
  <si>
    <t>PRICE OF BOND</t>
  </si>
  <si>
    <t>DURATION OF THE BOND</t>
  </si>
  <si>
    <t>CONVEXITY OF THE BOND</t>
  </si>
  <si>
    <t>Prediction based on Modified Duration and Convexity</t>
  </si>
  <si>
    <t>New Price</t>
  </si>
  <si>
    <t>Face_value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</si>
</sst>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%"/>
  </numFmts>
  <fonts count="14">
    <font>
      <sz val="11"/>
      <color theme="1"/>
      <name val="Calibri"/>
      <scheme val="minor"/>
    </font>
    <font>
      <sz val="18"/>
      <color theme="0"/>
      <name val="Verdana"/>
    </font>
    <font>
      <sz val="11"/>
      <name val="Calibri"/>
    </font>
    <font>
      <sz val="11"/>
      <color theme="1"/>
      <name val="Calibri"/>
    </font>
    <font>
      <sz val="12"/>
      <color theme="1"/>
      <name val="Verdana"/>
    </font>
    <font>
      <sz val="12"/>
      <color theme="0"/>
      <name val="Verdana"/>
    </font>
    <font>
      <sz val="10"/>
      <color theme="0"/>
      <name val="Verdana"/>
    </font>
    <font>
      <sz val="16"/>
      <color theme="0"/>
      <name val="Verdana"/>
    </font>
    <font>
      <sz val="14"/>
      <color theme="1"/>
      <name val="Calibri"/>
    </font>
    <font>
      <sz val="11"/>
      <color rgb="FF9C5700"/>
      <name val="Calibri"/>
      <family val="2"/>
      <scheme val="minor"/>
    </font>
    <font>
      <sz val="16"/>
      <color theme="0"/>
      <name val="Verdana"/>
      <family val="2"/>
    </font>
    <font>
      <sz val="16"/>
      <name val="Calibri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00000"/>
        <bgColor rgb="FFC00000"/>
      </patternFill>
    </fill>
    <fill>
      <patternFill patternType="solid">
        <fgColor rgb="FF002060"/>
        <bgColor rgb="FF002060"/>
      </patternFill>
    </fill>
    <fill>
      <patternFill patternType="solid">
        <fgColor rgb="FFF7CAAC"/>
        <bgColor rgb="FFF7CAAC"/>
      </patternFill>
    </fill>
    <fill>
      <patternFill patternType="solid">
        <fgColor theme="5"/>
        <bgColor theme="5"/>
      </patternFill>
    </fill>
    <fill>
      <patternFill patternType="solid">
        <fgColor rgb="FF0070C0"/>
        <bgColor rgb="FF0070C0"/>
      </patternFill>
    </fill>
    <fill>
      <patternFill patternType="solid">
        <fgColor rgb="FFD9E2F3"/>
        <bgColor rgb="FFD9E2F3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rgb="FFC00000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9" fillId="8" borderId="0" applyNumberFormat="0" applyBorder="0" applyAlignment="0" applyProtection="0"/>
  </cellStyleXfs>
  <cellXfs count="28">
    <xf numFmtId="0" fontId="0" fillId="0" borderId="0" xfId="0" applyFont="1" applyAlignment="1"/>
    <xf numFmtId="0" fontId="3" fillId="3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9" fontId="4" fillId="0" borderId="0" xfId="0" applyNumberFormat="1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0" fontId="4" fillId="5" borderId="3" xfId="0" applyFont="1" applyFill="1" applyBorder="1" applyAlignment="1">
      <alignment horizontal="right" vertical="center" wrapText="1"/>
    </xf>
    <xf numFmtId="0" fontId="4" fillId="5" borderId="3" xfId="0" applyFont="1" applyFill="1" applyBorder="1" applyAlignment="1">
      <alignment horizontal="right" vertical="center"/>
    </xf>
    <xf numFmtId="0" fontId="5" fillId="6" borderId="3" xfId="0" applyFont="1" applyFill="1" applyBorder="1" applyAlignment="1">
      <alignment vertical="center"/>
    </xf>
    <xf numFmtId="164" fontId="5" fillId="6" borderId="3" xfId="0" applyNumberFormat="1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0" fontId="4" fillId="7" borderId="4" xfId="0" applyFont="1" applyFill="1" applyBorder="1" applyAlignment="1">
      <alignment vertical="center"/>
    </xf>
    <xf numFmtId="10" fontId="4" fillId="7" borderId="4" xfId="0" applyNumberFormat="1" applyFont="1" applyFill="1" applyBorder="1" applyAlignment="1">
      <alignment vertical="center"/>
    </xf>
    <xf numFmtId="0" fontId="4" fillId="7" borderId="4" xfId="0" applyFont="1" applyFill="1" applyBorder="1" applyAlignment="1">
      <alignment vertical="center" wrapText="1"/>
    </xf>
    <xf numFmtId="165" fontId="4" fillId="7" borderId="4" xfId="0" applyNumberFormat="1" applyFont="1" applyFill="1" applyBorder="1" applyAlignment="1">
      <alignment vertical="center"/>
    </xf>
    <xf numFmtId="0" fontId="8" fillId="0" borderId="0" xfId="0" applyFont="1"/>
    <xf numFmtId="0" fontId="9" fillId="8" borderId="3" xfId="1" applyBorder="1" applyAlignment="1">
      <alignment vertical="center"/>
    </xf>
    <xf numFmtId="0" fontId="4" fillId="9" borderId="0" xfId="0" applyFont="1" applyFill="1" applyAlignment="1">
      <alignment vertical="center"/>
    </xf>
    <xf numFmtId="10" fontId="4" fillId="9" borderId="0" xfId="0" applyNumberFormat="1" applyFont="1" applyFill="1" applyAlignment="1">
      <alignment vertical="center"/>
    </xf>
    <xf numFmtId="9" fontId="4" fillId="9" borderId="0" xfId="0" applyNumberFormat="1" applyFont="1" applyFill="1" applyAlignment="1">
      <alignment vertical="center"/>
    </xf>
    <xf numFmtId="0" fontId="8" fillId="9" borderId="0" xfId="0" applyFont="1" applyFill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7" fillId="6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/>
    </xf>
    <xf numFmtId="0" fontId="11" fillId="11" borderId="2" xfId="0" applyFont="1" applyFill="1" applyBorder="1"/>
    <xf numFmtId="0" fontId="12" fillId="0" borderId="0" xfId="0" applyFont="1" applyAlignment="1"/>
    <xf numFmtId="0" fontId="13" fillId="0" borderId="0" xfId="0" applyFont="1" applyAlignment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428625</xdr:colOff>
      <xdr:row>0</xdr:row>
      <xdr:rowOff>95250</xdr:rowOff>
    </xdr:from>
    <xdr:ext cx="2847975" cy="4857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26775" y="3541875"/>
          <a:ext cx="2838450" cy="476250"/>
        </a:xfrm>
        <a:prstGeom prst="rect">
          <a:avLst/>
        </a:prstGeom>
        <a:solidFill>
          <a:schemeClr val="lt1"/>
        </a:solidFill>
        <a:ln w="12700" cap="flat" cmpd="sng">
          <a:solidFill>
            <a:schemeClr val="accent5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dk1"/>
              </a:solidFill>
              <a:latin typeface="Bookman Old Style"/>
              <a:ea typeface="Bookman Old Style"/>
              <a:cs typeface="Bookman Old Style"/>
              <a:sym typeface="Bookman Old Style"/>
            </a:rPr>
            <a:t>SHORT KEY TO RUN DURATION MACRO IS Ctrl+Shift+w</a:t>
          </a:r>
          <a:endParaRPr sz="1200">
            <a:latin typeface="Bookman Old Style"/>
            <a:ea typeface="Bookman Old Style"/>
            <a:cs typeface="Bookman Old Style"/>
            <a:sym typeface="Bookman Old Style"/>
          </a:endParaRPr>
        </a:p>
      </xdr:txBody>
    </xdr:sp>
    <xdr:clientData fLocksWithSheet="0"/>
  </xdr:oneCellAnchor>
  <xdr:oneCellAnchor>
    <xdr:from>
      <xdr:col>3</xdr:col>
      <xdr:colOff>441960</xdr:colOff>
      <xdr:row>5</xdr:row>
      <xdr:rowOff>373380</xdr:rowOff>
    </xdr:from>
    <xdr:ext cx="3686175" cy="152400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67200" y="2278380"/>
          <a:ext cx="3686175" cy="1524000"/>
        </a:xfrm>
        <a:prstGeom prst="rect">
          <a:avLst/>
        </a:prstGeom>
        <a:noFill/>
      </xdr:spPr>
    </xdr:pic>
    <xdr:clientData fLocksWithSheet="0"/>
  </xdr:oneCellAnchor>
  <xdr:oneCellAnchor>
    <xdr:from>
      <xdr:col>2</xdr:col>
      <xdr:colOff>914400</xdr:colOff>
      <xdr:row>12</xdr:row>
      <xdr:rowOff>190500</xdr:rowOff>
    </xdr:from>
    <xdr:ext cx="5972175" cy="2428875"/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opLeftCell="A2" workbookViewId="0">
      <selection activeCell="G2" sqref="G2"/>
    </sheetView>
  </sheetViews>
  <sheetFormatPr defaultColWidth="14.44140625" defaultRowHeight="15" customHeight="1"/>
  <cols>
    <col min="1" max="1" width="26.33203125" customWidth="1"/>
    <col min="2" max="2" width="18.88671875" customWidth="1"/>
    <col min="3" max="26" width="10.5546875" customWidth="1"/>
  </cols>
  <sheetData>
    <row r="1" spans="1:26" ht="30" customHeight="1">
      <c r="A1" s="21" t="s">
        <v>0</v>
      </c>
      <c r="B1" s="2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" customHeight="1">
      <c r="A2" s="2" t="s">
        <v>1</v>
      </c>
      <c r="B2" s="3">
        <v>0.15</v>
      </c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0" customHeight="1">
      <c r="A3" s="2" t="s">
        <v>2</v>
      </c>
      <c r="B3" s="3">
        <v>0.1</v>
      </c>
      <c r="C3" s="4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0" customHeight="1">
      <c r="A4" s="2" t="s">
        <v>3</v>
      </c>
      <c r="B4" s="2">
        <v>10</v>
      </c>
      <c r="C4" s="2" t="s">
        <v>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0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0" customHeight="1">
      <c r="A6" s="5" t="s">
        <v>5</v>
      </c>
      <c r="B6" s="5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0" customHeight="1">
      <c r="A7" s="2"/>
      <c r="B7" s="2"/>
      <c r="C7" s="1"/>
      <c r="D7" s="16"/>
      <c r="E7" s="16"/>
      <c r="F7" s="16"/>
      <c r="G7" s="16"/>
      <c r="H7" s="16"/>
      <c r="I7" s="16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0" customHeight="1">
      <c r="A8" s="6" t="s">
        <v>6</v>
      </c>
      <c r="B8" s="7"/>
      <c r="C8" s="1"/>
      <c r="D8" s="16"/>
      <c r="E8" s="16"/>
      <c r="F8" s="16"/>
      <c r="G8" s="16"/>
      <c r="H8" s="16"/>
      <c r="I8" s="16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0" customHeight="1">
      <c r="A9" s="4"/>
      <c r="B9" s="4"/>
      <c r="C9" s="1"/>
      <c r="D9" s="16"/>
      <c r="E9" s="16"/>
      <c r="F9" s="16"/>
      <c r="G9" s="16"/>
      <c r="H9" s="16"/>
      <c r="I9" s="16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0" customHeight="1">
      <c r="A10" s="8" t="s">
        <v>7</v>
      </c>
      <c r="B10" s="9"/>
      <c r="C10" s="1"/>
      <c r="D10" s="16"/>
      <c r="E10" s="16"/>
      <c r="F10" s="16"/>
      <c r="G10" s="16"/>
      <c r="H10" s="16"/>
      <c r="I10" s="16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0" customHeight="1">
      <c r="A11" s="10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0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0" customHeight="1">
      <c r="A13" s="23" t="s">
        <v>8</v>
      </c>
      <c r="B13" s="22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30" customHeight="1">
      <c r="A14" s="11" t="s">
        <v>9</v>
      </c>
      <c r="B14" s="12">
        <v>-1E-3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0" customHeight="1">
      <c r="A15" s="13" t="s">
        <v>10</v>
      </c>
      <c r="B15" s="14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0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30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0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0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0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0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0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0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30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0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0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30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30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30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30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30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30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30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30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30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30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30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30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30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30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30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30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30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30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30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30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30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30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30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0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30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30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30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30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0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30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30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0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0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30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0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30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30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30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30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30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30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30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30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30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30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30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30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30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30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30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30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30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30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30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30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30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30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30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30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30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30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30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30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30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30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30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30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30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30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30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30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30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30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30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30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30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30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30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30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30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30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30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30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30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30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30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30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30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30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30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30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30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30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30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30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30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30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30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30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30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30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30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30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30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30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30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30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30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30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30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30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30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30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30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30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30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30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30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30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30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30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30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30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30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30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30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30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30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30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30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30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30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30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30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30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30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30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30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30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30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30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30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30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30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30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30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30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30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30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30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30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30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30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30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30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30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30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30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30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30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30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30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30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30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30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30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30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30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30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30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30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30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30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30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30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30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30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30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30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30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30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30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30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30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30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30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30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30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30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30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30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30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30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30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30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30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30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30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30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30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30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30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30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30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30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30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30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30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30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30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30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30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30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30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30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30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30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30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30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30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30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30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30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30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30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30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30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30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30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30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30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30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30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30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30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30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30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30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30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30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30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30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30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30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0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0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0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0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0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30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30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30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30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30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30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30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30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30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30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30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30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30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30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30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30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30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30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30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30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30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30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30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30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30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30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30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30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30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30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30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30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30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30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30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30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30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30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30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30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30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30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30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30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30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30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30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30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30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30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30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30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30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30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30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30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30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30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30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30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30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30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30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30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30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30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30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30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30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30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30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30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30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30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30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30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30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30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30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30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30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30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30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30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30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30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30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30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30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30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30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30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30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30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30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30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30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30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30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30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30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30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30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30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30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30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30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30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30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30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30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30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30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30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30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30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30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30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30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30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30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30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30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30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30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30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30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30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30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30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30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30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30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30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30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30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30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30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30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30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30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30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30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30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30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30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30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30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30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30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30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30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30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30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30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30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30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30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30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30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30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30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30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30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30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30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30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30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30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30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30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30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30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30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30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30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30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30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30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30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30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30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30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30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30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30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30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30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30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30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30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30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30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30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30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30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30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30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30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30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30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30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30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30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30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30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30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30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30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30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30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30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30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30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30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30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30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30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30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30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30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30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30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30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30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30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30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30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30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30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30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30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30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30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30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30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30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30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30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30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30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30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30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30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30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30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30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30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30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30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30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30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30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30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30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30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30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30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30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30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30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30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30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30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30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30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30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30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30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30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30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30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30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30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30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30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30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30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30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30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30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30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30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30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30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30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30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30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30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30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30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30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30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30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30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30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30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30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30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30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30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30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30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30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30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30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30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30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30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30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30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30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30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30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30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30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30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30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30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30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30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30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30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30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30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30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30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30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30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30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30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30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30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30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30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30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30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30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30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30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30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30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30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30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30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30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30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30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30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30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30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30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30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30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30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30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30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30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30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30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30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30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30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30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30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30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30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30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30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30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30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30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30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30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30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30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30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30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30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30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30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30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30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30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30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30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30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30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30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30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30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30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30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30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30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30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30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30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30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30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30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30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30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30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30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30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30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30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30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30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30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30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30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30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30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30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30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30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30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30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30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30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30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30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30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30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30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30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30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30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30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30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30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30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30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30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30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30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30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30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30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30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30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30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30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30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30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30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30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30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30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30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30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30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30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30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30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30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30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30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30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30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30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30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30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30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30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30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30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30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30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30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30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30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30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30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30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30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30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30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30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30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30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30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30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30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30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30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30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30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30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30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30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30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30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30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30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30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30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30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30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30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30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30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30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30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30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30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30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30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30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30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30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30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30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30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30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30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30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30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30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30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30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30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30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30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30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30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30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30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30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30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30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30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30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30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30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30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30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30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30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30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30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30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30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30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30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30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30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30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30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30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30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30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30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30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30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30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30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30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30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30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30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30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30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30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30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30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30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30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30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30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30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30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30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30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30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30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30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30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30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30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30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30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30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30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30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30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30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30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30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30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30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30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30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30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30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30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30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30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30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30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30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30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30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30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30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30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30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30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30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30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30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30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30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30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30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30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30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30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30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30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30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30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30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30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30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30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30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30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30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30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30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30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30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30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30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30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30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30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30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30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30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30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30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30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30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30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30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30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30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30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30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30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30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30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30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30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30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30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30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30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30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30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30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30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30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30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30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30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30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30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30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30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30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30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30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30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30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30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30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30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30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30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30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30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30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30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30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30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30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30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30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30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30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30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30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30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30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30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30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30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30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30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30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30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30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30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30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30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30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30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30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30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30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30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30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30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30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30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30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30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30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B1"/>
    <mergeCell ref="A13:B13"/>
  </mergeCell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tabSelected="1" zoomScale="75" workbookViewId="0">
      <selection activeCell="I4" sqref="I4"/>
    </sheetView>
  </sheetViews>
  <sheetFormatPr defaultColWidth="14.44140625" defaultRowHeight="15" customHeight="1"/>
  <cols>
    <col min="1" max="1" width="60.5546875" bestFit="1" customWidth="1"/>
    <col min="2" max="2" width="17" bestFit="1" customWidth="1"/>
    <col min="3" max="8" width="8.6640625" customWidth="1"/>
    <col min="9" max="9" width="14.77734375" bestFit="1" customWidth="1"/>
    <col min="10" max="26" width="8.6640625" customWidth="1"/>
  </cols>
  <sheetData>
    <row r="1" spans="1:26" s="26" customFormat="1" ht="22.5" customHeight="1">
      <c r="A1" s="24" t="s">
        <v>0</v>
      </c>
      <c r="B1" s="25"/>
      <c r="I1" s="27" t="s">
        <v>16</v>
      </c>
      <c r="J1" s="27">
        <f>100</f>
        <v>100</v>
      </c>
    </row>
    <row r="2" spans="1:26" ht="22.5" customHeight="1">
      <c r="A2" s="17" t="s">
        <v>1</v>
      </c>
      <c r="B2" s="18">
        <v>0.15</v>
      </c>
    </row>
    <row r="3" spans="1:26" ht="22.5" customHeight="1">
      <c r="A3" s="17" t="s">
        <v>2</v>
      </c>
      <c r="B3" s="19">
        <v>0.1</v>
      </c>
    </row>
    <row r="4" spans="1:26" ht="22.5" customHeight="1">
      <c r="A4" s="17" t="s">
        <v>3</v>
      </c>
      <c r="B4" s="17">
        <v>10</v>
      </c>
    </row>
    <row r="5" spans="1:26" ht="22.5" customHeight="1">
      <c r="A5" s="20" t="s">
        <v>11</v>
      </c>
      <c r="B5" s="20">
        <f xml:space="preserve"> bond_price(J1,B2,B4,B3)</f>
        <v>130.72283552852335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ht="22.5" customHeight="1">
      <c r="A6" s="20" t="s">
        <v>12</v>
      </c>
      <c r="B6" s="20">
        <v>6.2809999999999997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ht="22.5" customHeight="1">
      <c r="A7" s="20"/>
      <c r="B7" s="20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ht="22.5" customHeight="1">
      <c r="A8" s="20" t="s">
        <v>7</v>
      </c>
      <c r="B8" s="20">
        <f>-1/(1+B3)*B6</f>
        <v>-5.71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ht="22.5" customHeight="1">
      <c r="A9" s="20"/>
      <c r="B9" s="20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ht="22.5" customHeight="1">
      <c r="A10" s="20" t="s">
        <v>13</v>
      </c>
      <c r="B10" s="20">
        <v>47.171999999999997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ht="22.5" customHeight="1">
      <c r="A11" s="20"/>
      <c r="B11" s="20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ht="22.5" customHeight="1">
      <c r="A12" s="20"/>
      <c r="B12" s="20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ht="22.5" customHeight="1">
      <c r="A13" s="20" t="s">
        <v>14</v>
      </c>
      <c r="B13" s="20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22.5" customHeight="1">
      <c r="A14" s="20" t="s">
        <v>9</v>
      </c>
      <c r="B14" s="20">
        <v>-1E-3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ht="22.5" customHeight="1">
      <c r="A15" s="20" t="s">
        <v>10</v>
      </c>
      <c r="B15" s="20">
        <f>(-B8*B14)+0.5*B10*(B14^2)</f>
        <v>-5.6864139999999999E-3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22.5" customHeight="1">
      <c r="A16" s="20" t="s">
        <v>15</v>
      </c>
      <c r="B16" s="20">
        <f>B8*B14+B10*(B14^2)</f>
        <v>5.7571719999999996E-3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">
    <mergeCell ref="A1:B1"/>
  </mergeCells>
  <pageMargins left="0.7" right="0.7" top="0.75" bottom="0.75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Duration</vt:lpstr>
      <vt:lpstr>Convexity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Arya</dc:creator>
  <cp:lastModifiedBy>Rahul Arya</cp:lastModifiedBy>
  <dcterms:created xsi:type="dcterms:W3CDTF">2025-09-26T05:19:03Z</dcterms:created>
  <dcterms:modified xsi:type="dcterms:W3CDTF">2025-10-17T07:09:00Z</dcterms:modified>
</cp:coreProperties>
</file>