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5148e53a7dbfdb1/Desktop/"/>
    </mc:Choice>
  </mc:AlternateContent>
  <xr:revisionPtr revIDLastSave="0" documentId="8_{B7732DE7-FB2C-4560-AC4C-272246944249}" xr6:coauthVersionLast="36" xr6:coauthVersionMax="36" xr10:uidLastSave="{00000000-0000-0000-0000-000000000000}"/>
  <bookViews>
    <workbookView xWindow="0" yWindow="0" windowWidth="22932" windowHeight="8916" xr2:uid="{DC949570-A804-4B2A-81F8-1B66D4681E19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7" i="1" l="1"/>
  <c r="B20" i="1"/>
  <c r="B6" i="1"/>
  <c r="B31" i="1" l="1"/>
  <c r="B10" i="1"/>
  <c r="B13" i="1"/>
  <c r="B33" i="1" l="1"/>
  <c r="B34" i="1"/>
</calcChain>
</file>

<file path=xl/sharedStrings.xml><?xml version="1.0" encoding="utf-8"?>
<sst xmlns="http://schemas.openxmlformats.org/spreadsheetml/2006/main" count="30" uniqueCount="17">
  <si>
    <t>CALCULATION OF BOND PRICE</t>
  </si>
  <si>
    <t>FACE VALUE</t>
  </si>
  <si>
    <t>COUPON RATE(%)</t>
  </si>
  <si>
    <t>MATURITY(in years)</t>
  </si>
  <si>
    <t>YIELD TO MATURITY</t>
  </si>
  <si>
    <t>CALCULATION OF BOND COUPON RATE</t>
  </si>
  <si>
    <t>BOND PRICE</t>
  </si>
  <si>
    <t xml:space="preserve">BOND COUPON RATE </t>
  </si>
  <si>
    <t>CALCULATION OF BOND YIELD</t>
  </si>
  <si>
    <t xml:space="preserve">FACE VALUE </t>
  </si>
  <si>
    <t>MATURITY</t>
  </si>
  <si>
    <t>COUPON RATE</t>
  </si>
  <si>
    <t>BOND YIELD</t>
  </si>
  <si>
    <t xml:space="preserve">CALCULATION OF BOND DURATION  </t>
  </si>
  <si>
    <t>CALCULATION OF BOND CONVEXITY</t>
  </si>
  <si>
    <t>BOND DURATION</t>
  </si>
  <si>
    <t>BOND CONVEXITY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</si>
</sst>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 &quot;₹&quot;\ * #,##0.00_ ;_ &quot;₹&quot;\ * \-#,##0.00_ ;_ &quot;₹&quot;\ * &quot;-&quot;??_ ;_ @_ "/>
    <numFmt numFmtId="164" formatCode="_ [$₹-4009]\ * #,##0.00_ ;_ [$₹-4009]\ * \-#,##0.00_ ;_ [$₹-4009]\ * &quot;-&quot;??_ ;_ @_ 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9C0006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A5A5A5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</cellStyleXfs>
  <cellXfs count="18">
    <xf numFmtId="0" fontId="0" fillId="0" borderId="0" xfId="0"/>
    <xf numFmtId="0" fontId="5" fillId="5" borderId="0" xfId="4" applyFont="1" applyFill="1"/>
    <xf numFmtId="0" fontId="3" fillId="5" borderId="0" xfId="4" applyFill="1"/>
    <xf numFmtId="0" fontId="2" fillId="5" borderId="0" xfId="3" applyFill="1"/>
    <xf numFmtId="164" fontId="2" fillId="5" borderId="0" xfId="3" applyNumberFormat="1" applyFill="1"/>
    <xf numFmtId="9" fontId="2" fillId="5" borderId="0" xfId="2" applyFont="1" applyFill="1"/>
    <xf numFmtId="10" fontId="2" fillId="5" borderId="0" xfId="2" applyNumberFormat="1" applyFont="1" applyFill="1"/>
    <xf numFmtId="0" fontId="4" fillId="5" borderId="1" xfId="5" applyFill="1"/>
    <xf numFmtId="44" fontId="4" fillId="5" borderId="1" xfId="1" applyFont="1" applyFill="1" applyBorder="1"/>
    <xf numFmtId="0" fontId="0" fillId="5" borderId="0" xfId="0" applyFill="1"/>
    <xf numFmtId="44" fontId="2" fillId="5" borderId="0" xfId="2" applyNumberFormat="1" applyFont="1" applyFill="1"/>
    <xf numFmtId="10" fontId="4" fillId="5" borderId="1" xfId="2" applyNumberFormat="1" applyFont="1" applyFill="1" applyBorder="1"/>
    <xf numFmtId="44" fontId="2" fillId="5" borderId="0" xfId="1" applyFont="1" applyFill="1"/>
    <xf numFmtId="10" fontId="2" fillId="5" borderId="0" xfId="3" applyNumberFormat="1" applyFill="1"/>
    <xf numFmtId="9" fontId="4" fillId="5" borderId="1" xfId="2" applyFont="1" applyFill="1" applyBorder="1"/>
    <xf numFmtId="0" fontId="4" fillId="5" borderId="1" xfId="1" applyNumberFormat="1" applyFont="1" applyFill="1" applyBorder="1"/>
    <xf numFmtId="0" fontId="4" fillId="5" borderId="1" xfId="2" applyNumberFormat="1" applyFont="1" applyFill="1" applyBorder="1"/>
    <xf numFmtId="44" fontId="2" fillId="5" borderId="0" xfId="3" applyNumberFormat="1" applyFill="1"/>
  </cellXfs>
  <cellStyles count="6">
    <cellStyle name="Bad" xfId="4" builtinId="27"/>
    <cellStyle name="Check Cell" xfId="5" builtinId="23"/>
    <cellStyle name="Currency" xfId="1" builtinId="4"/>
    <cellStyle name="Good" xfId="3" builtinId="26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0E7CC0-AE93-49BA-9E55-42BA9212AF91}">
  <sheetPr codeName="Sheet1"/>
  <dimension ref="A1:B35"/>
  <sheetViews>
    <sheetView tabSelected="1" workbookViewId="0">
      <selection activeCell="D10" sqref="D10"/>
    </sheetView>
  </sheetViews>
  <sheetFormatPr defaultRowHeight="14.4" x14ac:dyDescent="0.3"/>
  <cols>
    <col min="1" max="1" width="34.5546875" bestFit="1" customWidth="1"/>
    <col min="2" max="2" width="11" bestFit="1" customWidth="1"/>
  </cols>
  <sheetData>
    <row r="1" spans="1:2" x14ac:dyDescent="0.3">
      <c r="A1" s="1" t="s">
        <v>0</v>
      </c>
      <c r="B1" s="2"/>
    </row>
    <row r="2" spans="1:2" x14ac:dyDescent="0.3">
      <c r="A2" s="3" t="s">
        <v>1</v>
      </c>
      <c r="B2" s="4">
        <v>1000</v>
      </c>
    </row>
    <row r="3" spans="1:2" x14ac:dyDescent="0.3">
      <c r="A3" s="3" t="s">
        <v>2</v>
      </c>
      <c r="B3" s="5">
        <v>0.12</v>
      </c>
    </row>
    <row r="4" spans="1:2" x14ac:dyDescent="0.3">
      <c r="A4" s="3" t="s">
        <v>3</v>
      </c>
      <c r="B4" s="3">
        <v>10</v>
      </c>
    </row>
    <row r="5" spans="1:2" ht="15" thickBot="1" x14ac:dyDescent="0.35">
      <c r="A5" s="3" t="s">
        <v>4</v>
      </c>
      <c r="B5" s="6">
        <v>0.11749999999999999</v>
      </c>
    </row>
    <row r="6" spans="1:2" ht="15.6" thickTop="1" thickBot="1" x14ac:dyDescent="0.35">
      <c r="A6" s="7" t="s">
        <v>6</v>
      </c>
      <c r="B6" s="8">
        <f>bond_price(B2,B3,B4,B5)</f>
        <v>1014.2712943660955</v>
      </c>
    </row>
    <row r="7" spans="1:2" ht="15" thickTop="1" x14ac:dyDescent="0.3">
      <c r="A7" s="9"/>
      <c r="B7" s="9"/>
    </row>
    <row r="8" spans="1:2" x14ac:dyDescent="0.3">
      <c r="A8" s="1" t="s">
        <v>5</v>
      </c>
      <c r="B8" s="2"/>
    </row>
    <row r="9" spans="1:2" x14ac:dyDescent="0.3">
      <c r="A9" s="3" t="s">
        <v>1</v>
      </c>
      <c r="B9" s="4">
        <v>1000</v>
      </c>
    </row>
    <row r="10" spans="1:2" x14ac:dyDescent="0.3">
      <c r="A10" s="3" t="s">
        <v>6</v>
      </c>
      <c r="B10" s="10">
        <f>B6</f>
        <v>1014.2712943660955</v>
      </c>
    </row>
    <row r="11" spans="1:2" x14ac:dyDescent="0.3">
      <c r="A11" s="3" t="s">
        <v>3</v>
      </c>
      <c r="B11" s="3">
        <v>10</v>
      </c>
    </row>
    <row r="12" spans="1:2" ht="15" thickBot="1" x14ac:dyDescent="0.35">
      <c r="A12" s="3" t="s">
        <v>4</v>
      </c>
      <c r="B12" s="6">
        <v>0.11749999999999999</v>
      </c>
    </row>
    <row r="13" spans="1:2" ht="15.6" thickTop="1" thickBot="1" x14ac:dyDescent="0.35">
      <c r="A13" s="7" t="s">
        <v>7</v>
      </c>
      <c r="B13" s="11">
        <f>coupon_rate(B9,B10,B11,B12)</f>
        <v>0.12000000098692958</v>
      </c>
    </row>
    <row r="14" spans="1:2" ht="15" thickTop="1" x14ac:dyDescent="0.3">
      <c r="A14" s="9"/>
      <c r="B14" s="9"/>
    </row>
    <row r="15" spans="1:2" x14ac:dyDescent="0.3">
      <c r="A15" s="1" t="s">
        <v>13</v>
      </c>
      <c r="B15" s="2"/>
    </row>
    <row r="16" spans="1:2" x14ac:dyDescent="0.3">
      <c r="A16" s="3" t="s">
        <v>9</v>
      </c>
      <c r="B16" s="12">
        <v>1000</v>
      </c>
    </row>
    <row r="17" spans="1:2" x14ac:dyDescent="0.3">
      <c r="A17" s="3" t="s">
        <v>11</v>
      </c>
      <c r="B17" s="6">
        <v>9.5000000000000001E-2</v>
      </c>
    </row>
    <row r="18" spans="1:2" x14ac:dyDescent="0.3">
      <c r="A18" s="3" t="s">
        <v>10</v>
      </c>
      <c r="B18" s="3">
        <v>8</v>
      </c>
    </row>
    <row r="19" spans="1:2" ht="15" thickBot="1" x14ac:dyDescent="0.35">
      <c r="A19" s="3" t="s">
        <v>4</v>
      </c>
      <c r="B19" s="13">
        <v>0.1</v>
      </c>
    </row>
    <row r="20" spans="1:2" ht="15.6" thickTop="1" thickBot="1" x14ac:dyDescent="0.35">
      <c r="A20" s="14" t="s">
        <v>15</v>
      </c>
      <c r="B20" s="15">
        <f>bond_duration(B16,B17,B18,B19)</f>
        <v>5.9195013428547583</v>
      </c>
    </row>
    <row r="21" spans="1:2" ht="15" thickTop="1" x14ac:dyDescent="0.3">
      <c r="A21" s="9"/>
      <c r="B21" s="9"/>
    </row>
    <row r="22" spans="1:2" x14ac:dyDescent="0.3">
      <c r="A22" s="1" t="s">
        <v>14</v>
      </c>
      <c r="B22" s="2"/>
    </row>
    <row r="23" spans="1:2" x14ac:dyDescent="0.3">
      <c r="A23" s="3" t="s">
        <v>9</v>
      </c>
      <c r="B23" s="4">
        <v>1000</v>
      </c>
    </row>
    <row r="24" spans="1:2" x14ac:dyDescent="0.3">
      <c r="A24" s="3" t="s">
        <v>11</v>
      </c>
      <c r="B24" s="6">
        <v>9.5000000000000001E-2</v>
      </c>
    </row>
    <row r="25" spans="1:2" x14ac:dyDescent="0.3">
      <c r="A25" s="3" t="s">
        <v>10</v>
      </c>
      <c r="B25" s="3">
        <v>8</v>
      </c>
    </row>
    <row r="26" spans="1:2" ht="15" thickBot="1" x14ac:dyDescent="0.35">
      <c r="A26" s="3" t="s">
        <v>4</v>
      </c>
      <c r="B26" s="13">
        <v>0.1</v>
      </c>
    </row>
    <row r="27" spans="1:2" ht="15.6" thickTop="1" thickBot="1" x14ac:dyDescent="0.35">
      <c r="A27" s="14" t="s">
        <v>16</v>
      </c>
      <c r="B27" s="16">
        <f>bond_convexity(B23,B24,B25,B26)</f>
        <v>39.338043401051763</v>
      </c>
    </row>
    <row r="28" spans="1:2" ht="15" thickTop="1" x14ac:dyDescent="0.3">
      <c r="A28" s="9"/>
      <c r="B28" s="9"/>
    </row>
    <row r="29" spans="1:2" x14ac:dyDescent="0.3">
      <c r="A29" s="1" t="s">
        <v>8</v>
      </c>
      <c r="B29" s="1"/>
    </row>
    <row r="30" spans="1:2" x14ac:dyDescent="0.3">
      <c r="A30" s="3" t="s">
        <v>9</v>
      </c>
      <c r="B30" s="4">
        <v>1000</v>
      </c>
    </row>
    <row r="31" spans="1:2" x14ac:dyDescent="0.3">
      <c r="A31" s="3" t="s">
        <v>6</v>
      </c>
      <c r="B31" s="17">
        <f>B6</f>
        <v>1014.2712943660955</v>
      </c>
    </row>
    <row r="32" spans="1:2" x14ac:dyDescent="0.3">
      <c r="A32" s="3" t="s">
        <v>10</v>
      </c>
      <c r="B32" s="3">
        <v>10</v>
      </c>
    </row>
    <row r="33" spans="1:2" ht="15" thickBot="1" x14ac:dyDescent="0.35">
      <c r="A33" s="3" t="s">
        <v>11</v>
      </c>
      <c r="B33" s="13">
        <f>B13</f>
        <v>0.12000000098692958</v>
      </c>
    </row>
    <row r="34" spans="1:2" ht="15.6" thickTop="1" thickBot="1" x14ac:dyDescent="0.35">
      <c r="A34" s="14" t="s">
        <v>12</v>
      </c>
      <c r="B34" s="11">
        <f>bond_yield(B30,B31,B32,B33)</f>
        <v>0.11749999999999994</v>
      </c>
    </row>
    <row r="35" spans="1:2" ht="15" thickTop="1" x14ac:dyDescent="0.3"/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Rahul Arya</dc:creator>
  <cp:lastModifiedBy>Rahul Arya</cp:lastModifiedBy>
  <dcterms:created xsi:type="dcterms:W3CDTF">2025-10-16T18:26:14Z</dcterms:created>
  <dcterms:modified xsi:type="dcterms:W3CDTF">2025-10-17T05:39:04Z</dcterms:modified>
</cp:coreProperties>
</file>